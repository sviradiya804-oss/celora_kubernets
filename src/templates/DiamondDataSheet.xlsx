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ivoda-images.nivodaapi.net/3d70bb43-3495-4f39-83df-153f2d46994e.jpg?d_id=bb1de77e-ac6d-4ed8-9a6d-22014f0981e2&amp;c_id=17de5735-7b31-424b-bf9c-bc8934cc124d&amp;f_id=cfae1243-82a9-4a23-af18-749899266159&amp;type=csv" TargetMode="External"/><Relationship Id="rId2" Type="http://schemas.openxmlformats.org/officeDocument/2006/relationships/hyperlink" Target="https://nivoda-certificates.s3.eu-west-2.amazonaws.com/pdf/LG56437603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Image Link</v>
      </c>
      <c r="B1" t="str">
        <v>Video Link</v>
      </c>
      <c r="C1" t="str">
        <v>Stone No</v>
      </c>
      <c r="D1" t="str">
        <v>Lab</v>
      </c>
      <c r="E1" t="str">
        <v>Report No</v>
      </c>
      <c r="F1" t="str">
        <v>Report Link</v>
      </c>
      <c r="G1" t="str">
        <v>Shape</v>
      </c>
      <c r="H1" t="str">
        <v>Carats</v>
      </c>
      <c r="I1" t="str">
        <v>Color</v>
      </c>
      <c r="J1" t="str">
        <v>Clarity</v>
      </c>
      <c r="K1" t="str">
        <v>Rap</v>
      </c>
      <c r="L1" t="str">
        <v>Value</v>
      </c>
      <c r="M1" t="str">
        <v>Disc %</v>
      </c>
      <c r="N1" t="str">
        <v>Price/Ct</v>
      </c>
      <c r="O1" t="str">
        <v>Amount</v>
      </c>
      <c r="P1" t="str">
        <v>Cut</v>
      </c>
      <c r="Q1" t="str">
        <v>Polish</v>
      </c>
      <c r="R1" t="str">
        <v>Sym</v>
      </c>
      <c r="S1" t="str">
        <v>Flour</v>
      </c>
      <c r="T1" t="str">
        <v>Comment</v>
      </c>
      <c r="U1" t="str">
        <v>Location</v>
      </c>
      <c r="V1" t="str">
        <v>Identify</v>
      </c>
      <c r="W1" t="str">
        <v>Length</v>
      </c>
      <c r="X1" t="str">
        <v>Width</v>
      </c>
      <c r="Y1" t="str">
        <v>Culet</v>
      </c>
      <c r="Z1" t="str">
        <v>Diamond Creator</v>
      </c>
      <c r="AA1" t="str">
        <v>Discount Amount</v>
      </c>
    </row>
    <row r="2">
      <c r="A2" t="str">
        <f>=HYPERLINK("https://nivoda-images.nivodaapi.net/3d70bb43-3495-4f39-83df-153f2d46994e.jpg?d_id=bb1de77e-ac6d-4ed8-9a6d-22014f0981e2&amp;c_id=17de5735-7b31-424b-bf9c-bc8934cc124d&amp;f_id=cfae1243-82a9-4a23-af18-749899266159&amp;type=csv","Image")</f>
        <v>Image</v>
      </c>
      <c r="B2" t="str">
        <v>https://loupe360.com/diamond/LG564376031/video/500/500?d_id=bb1de77e-ac6d-4ed8-9a6d-22014f0981e2&amp;c_id=17de5735-7b31-424b-bf9c-bc8934cc124d&amp;f_id=cfae1243-82a9-4a23-af18-749899266159&amp;type=csv</v>
      </c>
      <c r="C2" t="str">
        <v>C1C473E0C</v>
      </c>
      <c r="D2" t="str">
        <v>IGI</v>
      </c>
      <c r="E2" t="str">
        <v>LG564376031</v>
      </c>
      <c r="F2" t="str">
        <f>=HYPERLINK("https://nivoda-certificates.s3.eu-west-2.amazonaws.com/pdf/LG564376031.pdf","LG564376031")</f>
        <v>LG564376031</v>
      </c>
      <c r="G2" t="str">
        <v>RD</v>
      </c>
      <c r="H2">
        <v>0.56</v>
      </c>
      <c r="I2" t="str">
        <v>D</v>
      </c>
      <c r="J2" t="str">
        <v>VVS2</v>
      </c>
      <c r="N2">
        <v>434.16</v>
      </c>
      <c r="O2">
        <v>970</v>
      </c>
      <c r="P2" t="str">
        <v>ID</v>
      </c>
      <c r="Q2" t="str">
        <v>EX</v>
      </c>
      <c r="R2" t="str">
        <v>EX</v>
      </c>
      <c r="S2" t="str">
        <v>NON</v>
      </c>
      <c r="T2" t="str">
        <v/>
      </c>
      <c r="U2" t="str">
        <v/>
      </c>
      <c r="V2" t="str">
        <v>23539647093517</v>
      </c>
      <c r="W2" t="str">
        <v/>
      </c>
      <c r="X2" t="str">
        <v/>
      </c>
      <c r="Y2" t="str">
        <v/>
      </c>
    </row>
  </sheetData>
  <hyperlinks>
    <hyperlink ref="A2" r:id="rId1" tooltip="Image"/>
    <hyperlink ref="F2" r:id="rId2" tooltip="LG564376031"/>
  </hyperlinks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